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nx\Desktop\"/>
    </mc:Choice>
  </mc:AlternateContent>
  <xr:revisionPtr revIDLastSave="0" documentId="13_ncr:1_{1F672BBE-6E6C-4755-9B80-B562FCCD66E6}" xr6:coauthVersionLast="47" xr6:coauthVersionMax="47" xr10:uidLastSave="{00000000-0000-0000-0000-000000000000}"/>
  <bookViews>
    <workbookView xWindow="-120" yWindow="-120" windowWidth="20730" windowHeight="11310" xr2:uid="{BD12A082-7244-4051-AAE4-F7678129D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C49" i="1"/>
  <c r="I4" i="1"/>
  <c r="I5" i="1"/>
  <c r="I6" i="1"/>
  <c r="I7" i="1"/>
  <c r="I8" i="1"/>
  <c r="I9" i="1"/>
  <c r="I10" i="1"/>
  <c r="H44" i="1"/>
  <c r="H46" i="1" s="1"/>
  <c r="G44" i="1"/>
  <c r="G46" i="1" s="1"/>
  <c r="F44" i="1"/>
  <c r="F46" i="1" s="1"/>
  <c r="E44" i="1"/>
  <c r="E46" i="1" s="1"/>
  <c r="D44" i="1"/>
  <c r="D46" i="1" s="1"/>
  <c r="C44" i="1"/>
  <c r="C46" i="1" s="1"/>
  <c r="I44" i="1"/>
  <c r="H28" i="1"/>
  <c r="H30" i="1" s="1"/>
  <c r="G28" i="1"/>
  <c r="G30" i="1" s="1"/>
  <c r="F28" i="1"/>
  <c r="F30" i="1" s="1"/>
  <c r="E28" i="1"/>
  <c r="D28" i="1"/>
  <c r="D30" i="1" s="1"/>
  <c r="C28" i="1"/>
  <c r="C30" i="1" s="1"/>
  <c r="I26" i="1"/>
  <c r="I25" i="1"/>
  <c r="I24" i="1"/>
  <c r="I23" i="1"/>
  <c r="I22" i="1"/>
  <c r="I21" i="1"/>
  <c r="I20" i="1"/>
  <c r="C12" i="1"/>
  <c r="D12" i="1"/>
  <c r="E12" i="1"/>
  <c r="E14" i="1" s="1"/>
  <c r="F12" i="1"/>
  <c r="F14" i="1" s="1"/>
  <c r="G12" i="1"/>
  <c r="G14" i="1" s="1"/>
  <c r="H12" i="1"/>
  <c r="H14" i="1" s="1"/>
  <c r="C14" i="1"/>
  <c r="D14" i="1"/>
  <c r="E49" i="1" l="1"/>
  <c r="I14" i="1"/>
  <c r="I12" i="1"/>
  <c r="G49" i="1"/>
  <c r="F49" i="1"/>
  <c r="H49" i="1"/>
  <c r="E30" i="1"/>
  <c r="I28" i="1"/>
  <c r="I46" i="1"/>
  <c r="I30" i="1"/>
  <c r="K49" i="1" l="1"/>
  <c r="I49" i="1"/>
</calcChain>
</file>

<file path=xl/sharedStrings.xml><?xml version="1.0" encoding="utf-8"?>
<sst xmlns="http://schemas.openxmlformats.org/spreadsheetml/2006/main" count="121" uniqueCount="25">
  <si>
    <t>Gabriel</t>
  </si>
  <si>
    <t>Andrea</t>
  </si>
  <si>
    <t>Marco</t>
  </si>
  <si>
    <t>Mircea</t>
  </si>
  <si>
    <t>Milo</t>
  </si>
  <si>
    <t>Davide M.</t>
  </si>
  <si>
    <t>Davide S.</t>
  </si>
  <si>
    <t>Re</t>
  </si>
  <si>
    <t>Am</t>
  </si>
  <si>
    <t>An</t>
  </si>
  <si>
    <t>Prj</t>
  </si>
  <si>
    <t>Prg</t>
  </si>
  <si>
    <t>Ver</t>
  </si>
  <si>
    <t>Membro</t>
  </si>
  <si>
    <t>Totale ore ruolo</t>
  </si>
  <si>
    <t>Costo orario</t>
  </si>
  <si>
    <t>Costo totale ruolo</t>
  </si>
  <si>
    <t>Totale</t>
  </si>
  <si>
    <t>*</t>
  </si>
  <si>
    <t>RTB</t>
  </si>
  <si>
    <t>PB</t>
  </si>
  <si>
    <t>CA</t>
  </si>
  <si>
    <t>ore totali</t>
  </si>
  <si>
    <t>totale</t>
  </si>
  <si>
    <t>costo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</si>
</sst>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€-2]\ * #,##0.00_);_([$€-2]\ * \(#,##0.00\);_([$€-2]\ 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">
    <xf numFmtId="0" fontId="0" fillId="0" borderId="0" xfId="0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62364093290219"/>
          <c:y val="0.11048443752280264"/>
          <c:w val="0.6264714081273236"/>
          <c:h val="0.770034040151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2D-4982-902B-F12CBF366B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2D-4982-902B-F12CBF366B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B2D-4982-902B-F12CBF366B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2D-4982-902B-F12CBF366B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B2D-4982-902B-F12CBF366B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B2D-4982-902B-F12CBF366B3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B2D-4982-902B-F12CBF366B3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B2D-4982-902B-F12CBF366B3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CB2D-4982-902B-F12CBF366B3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CB2D-4982-902B-F12CBF366B3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CB2D-4982-902B-F12CBF366B3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CB2D-4982-902B-F12CBF366B3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Responsabile</c:v>
              </c:pt>
              <c:pt idx="1">
                <c:v>Amministratore</c:v>
              </c:pt>
              <c:pt idx="2">
                <c:v>Analista</c:v>
              </c:pt>
              <c:pt idx="3">
                <c:v>Progettista</c:v>
              </c:pt>
              <c:pt idx="4">
                <c:v>Programmatore</c:v>
              </c:pt>
              <c:pt idx="5">
                <c:v>Verificatore</c:v>
              </c:pt>
            </c:strLit>
          </c:cat>
          <c:val>
            <c:numRef>
              <c:f>Sheet1!$C$12:$H$12</c:f>
              <c:numCache>
                <c:formatCode>General</c:formatCode>
                <c:ptCount val="6"/>
                <c:pt idx="0">
                  <c:v>32</c:v>
                </c:pt>
                <c:pt idx="1">
                  <c:v>25</c:v>
                </c:pt>
                <c:pt idx="2">
                  <c:v>56</c:v>
                </c:pt>
                <c:pt idx="3">
                  <c:v>41</c:v>
                </c:pt>
                <c:pt idx="4">
                  <c:v>30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D-4982-902B-F12CBF366B3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62364093290219"/>
          <c:y val="0.11048443752280264"/>
          <c:w val="0.6264714081273236"/>
          <c:h val="0.770034040151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82-4B69-A2E6-303EC04C26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82-4B69-A2E6-303EC04C26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82-4B69-A2E6-303EC04C26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82-4B69-A2E6-303EC04C26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82-4B69-A2E6-303EC04C26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A82-4B69-A2E6-303EC04C269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A82-4B69-A2E6-303EC04C269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A82-4B69-A2E6-303EC04C269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A82-4B69-A2E6-303EC04C269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7A82-4B69-A2E6-303EC04C269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7A82-4B69-A2E6-303EC04C269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7A82-4B69-A2E6-303EC04C2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Responsabile</c:v>
              </c:pt>
              <c:pt idx="1">
                <c:v>Amministratore</c:v>
              </c:pt>
              <c:pt idx="2">
                <c:v>Analista</c:v>
              </c:pt>
              <c:pt idx="3">
                <c:v>Progettista</c:v>
              </c:pt>
              <c:pt idx="4">
                <c:v>Programmatore</c:v>
              </c:pt>
              <c:pt idx="5">
                <c:v>Verificatore</c:v>
              </c:pt>
            </c:strLit>
          </c:cat>
          <c:val>
            <c:numRef>
              <c:f>Sheet1!$C$28:$H$28</c:f>
              <c:numCache>
                <c:formatCode>General</c:formatCode>
                <c:ptCount val="6"/>
                <c:pt idx="0">
                  <c:v>31</c:v>
                </c:pt>
                <c:pt idx="1">
                  <c:v>24</c:v>
                </c:pt>
                <c:pt idx="2">
                  <c:v>0</c:v>
                </c:pt>
                <c:pt idx="3">
                  <c:v>57</c:v>
                </c:pt>
                <c:pt idx="4">
                  <c:v>159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82-4B69-A2E6-303EC04C269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62364093290219"/>
          <c:y val="0.11048443752280264"/>
          <c:w val="0.6264714081273236"/>
          <c:h val="0.77003404015155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CB-4083-A19A-D5341FF1FF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CB-4083-A19A-D5341FF1FF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CB-4083-A19A-D5341FF1FF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CB-4083-A19A-D5341FF1FF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8CB-4083-A19A-D5341FF1FF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8CB-4083-A19A-D5341FF1FF5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8CB-4083-A19A-D5341FF1FF5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8CB-4083-A19A-D5341FF1FF58}"/>
                </c:ext>
              </c:extLst>
            </c:dLbl>
            <c:dLbl>
              <c:idx val="2"/>
              <c:layout>
                <c:manualLayout>
                  <c:x val="2.1959093072165495E-2"/>
                  <c:y val="0.16794558298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F8CB-4083-A19A-D5341FF1FF58}"/>
                </c:ext>
              </c:extLst>
            </c:dLbl>
            <c:dLbl>
              <c:idx val="3"/>
              <c:layout>
                <c:manualLayout>
                  <c:x val="4.8797984604810425E-3"/>
                  <c:y val="8.99708480283749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F8CB-4083-A19A-D5341FF1FF58}"/>
                </c:ext>
              </c:extLst>
            </c:dLbl>
            <c:dLbl>
              <c:idx val="4"/>
              <c:layout>
                <c:manualLayout>
                  <c:x val="0"/>
                  <c:y val="8.997084802837505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F8CB-4083-A19A-D5341FF1FF5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F8CB-4083-A19A-D5341FF1FF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Responsabile</c:v>
              </c:pt>
              <c:pt idx="1">
                <c:v>Amministratore</c:v>
              </c:pt>
              <c:pt idx="2">
                <c:v>Analista</c:v>
              </c:pt>
              <c:pt idx="3">
                <c:v>Progettista</c:v>
              </c:pt>
              <c:pt idx="4">
                <c:v>Programmatore</c:v>
              </c:pt>
              <c:pt idx="5">
                <c:v>Verificatore</c:v>
              </c:pt>
            </c:strLit>
          </c:cat>
          <c:val>
            <c:numRef>
              <c:f>Sheet1!$C$44:$H$44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CB-4083-A19A-D5341FF1FF5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285749</xdr:colOff>
      <xdr:row>1</xdr:row>
      <xdr:rowOff>158001</xdr:rowOff>
    </xdr:from>
    <xdr:to>
      <xdr:col>17</xdr:col>
      <xdr:colOff>459441</xdr:colOff>
      <xdr:row>24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F6BA0-00FE-21E8-BFC4-B68941E7C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313765</xdr:colOff>
      <xdr:row>27</xdr:row>
      <xdr:rowOff>0</xdr:rowOff>
    </xdr:from>
    <xdr:to>
      <xdr:col>17</xdr:col>
      <xdr:colOff>487457</xdr:colOff>
      <xdr:row>49</xdr:row>
      <xdr:rowOff>43705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1EDD5C-6C03-4644-9A62-CEC1FA75E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6</xdr:col>
      <xdr:colOff>184898</xdr:colOff>
      <xdr:row>76</xdr:row>
      <xdr:rowOff>43705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968172-BC98-4B68-88A0-1E20D6F1F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B44-814A-4A8B-A742-E96BCA1B2016}">
  <dimension ref="A1:K49"/>
  <sheetViews>
    <sheetView tabSelected="1" topLeftCell="A50" zoomScale="85" zoomScaleNormal="85" workbookViewId="0">
      <selection activeCell="M63" sqref="M63"/>
    </sheetView>
  </sheetViews>
  <sheetFormatPr defaultRowHeight="15" x14ac:dyDescent="0.25"/>
  <cols>
    <col min="1" max="1" width="9.140625" customWidth="1"/>
    <col min="2" max="2" width="20.140625" customWidth="1"/>
    <col min="3" max="8" width="13.7109375" customWidth="1"/>
    <col min="9" max="9" width="17" customWidth="1"/>
    <col min="11" max="11" width="12" bestFit="1" customWidth="1"/>
  </cols>
  <sheetData>
    <row r="1" spans="1:9" x14ac:dyDescent="0.25">
      <c r="A1" s="12" t="s">
        <v>19</v>
      </c>
    </row>
    <row r="3" spans="1:9" x14ac:dyDescent="0.25">
      <c r="B3" s="2" t="s">
        <v>13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17</v>
      </c>
    </row>
    <row r="4" spans="1:9" x14ac:dyDescent="0.25">
      <c r="B4" s="2" t="s">
        <v>1</v>
      </c>
      <c r="C4" s="2" t="s">
        <v>18</v>
      </c>
      <c r="D4" s="3">
        <v>8</v>
      </c>
      <c r="E4" s="2">
        <v>8</v>
      </c>
      <c r="F4" s="3">
        <v>8</v>
      </c>
      <c r="G4" s="2" t="s">
        <v>18</v>
      </c>
      <c r="H4" s="3">
        <v>16</v>
      </c>
      <c r="I4" s="2">
        <f>SUM(C4:H4)</f>
        <v>40</v>
      </c>
    </row>
    <row r="5" spans="1:9" x14ac:dyDescent="0.25">
      <c r="B5" s="1" t="s">
        <v>5</v>
      </c>
      <c r="C5" s="4" t="s">
        <v>18</v>
      </c>
      <c r="D5" s="5">
        <v>2</v>
      </c>
      <c r="E5" s="4">
        <v>9</v>
      </c>
      <c r="F5" s="5">
        <v>7</v>
      </c>
      <c r="G5" s="4">
        <v>10</v>
      </c>
      <c r="H5" s="5">
        <v>12</v>
      </c>
      <c r="I5" s="2">
        <f t="shared" ref="I5:I10" si="0">SUM(C5:H5)</f>
        <v>40</v>
      </c>
    </row>
    <row r="6" spans="1:9" x14ac:dyDescent="0.25">
      <c r="B6" s="4" t="s">
        <v>6</v>
      </c>
      <c r="C6" s="4">
        <v>10</v>
      </c>
      <c r="D6" s="5">
        <v>8</v>
      </c>
      <c r="E6" s="4">
        <v>8</v>
      </c>
      <c r="F6" s="5" t="s">
        <v>18</v>
      </c>
      <c r="G6" s="4" t="s">
        <v>18</v>
      </c>
      <c r="H6" s="5">
        <v>14</v>
      </c>
      <c r="I6" s="2">
        <f t="shared" si="0"/>
        <v>40</v>
      </c>
    </row>
    <row r="7" spans="1:9" x14ac:dyDescent="0.25">
      <c r="B7" s="4" t="s">
        <v>0</v>
      </c>
      <c r="C7" s="4">
        <v>12</v>
      </c>
      <c r="D7" s="5">
        <v>7</v>
      </c>
      <c r="E7" s="4">
        <v>8</v>
      </c>
      <c r="F7" s="5" t="s">
        <v>18</v>
      </c>
      <c r="G7" s="4" t="s">
        <v>18</v>
      </c>
      <c r="H7" s="5">
        <v>13</v>
      </c>
      <c r="I7" s="2">
        <f t="shared" si="0"/>
        <v>40</v>
      </c>
    </row>
    <row r="8" spans="1:9" x14ac:dyDescent="0.25">
      <c r="B8" s="4" t="s">
        <v>2</v>
      </c>
      <c r="C8" s="4" t="s">
        <v>18</v>
      </c>
      <c r="D8" s="5" t="s">
        <v>18</v>
      </c>
      <c r="E8" s="4">
        <v>7</v>
      </c>
      <c r="F8" s="5">
        <v>10</v>
      </c>
      <c r="G8" s="4">
        <v>10</v>
      </c>
      <c r="H8" s="5">
        <v>13</v>
      </c>
      <c r="I8" s="2">
        <f t="shared" si="0"/>
        <v>40</v>
      </c>
    </row>
    <row r="9" spans="1:9" x14ac:dyDescent="0.25">
      <c r="B9" s="4" t="s">
        <v>4</v>
      </c>
      <c r="C9" s="4">
        <v>10</v>
      </c>
      <c r="D9" s="5" t="s">
        <v>18</v>
      </c>
      <c r="E9" s="4">
        <v>8</v>
      </c>
      <c r="F9" s="5">
        <v>12</v>
      </c>
      <c r="G9" s="4" t="s">
        <v>18</v>
      </c>
      <c r="H9" s="5">
        <v>10</v>
      </c>
      <c r="I9" s="2">
        <f t="shared" si="0"/>
        <v>40</v>
      </c>
    </row>
    <row r="10" spans="1:9" x14ac:dyDescent="0.25">
      <c r="B10" s="6" t="s">
        <v>3</v>
      </c>
      <c r="C10" s="6" t="s">
        <v>18</v>
      </c>
      <c r="D10" s="7" t="s">
        <v>18</v>
      </c>
      <c r="E10" s="6">
        <v>8</v>
      </c>
      <c r="F10" s="7">
        <v>4</v>
      </c>
      <c r="G10" s="6">
        <v>10</v>
      </c>
      <c r="H10" s="7">
        <v>18</v>
      </c>
      <c r="I10" s="9">
        <f t="shared" si="0"/>
        <v>40</v>
      </c>
    </row>
    <row r="11" spans="1:9" x14ac:dyDescent="0.25">
      <c r="B11" s="8"/>
      <c r="C11" s="8"/>
      <c r="D11" s="8"/>
      <c r="E11" s="8"/>
      <c r="F11" s="8"/>
      <c r="G11" s="8"/>
      <c r="H11" s="8"/>
      <c r="I11" s="8"/>
    </row>
    <row r="12" spans="1:9" x14ac:dyDescent="0.25">
      <c r="B12" s="9" t="s">
        <v>14</v>
      </c>
      <c r="C12" s="9">
        <f>SUM(C4:C10)</f>
        <v>32</v>
      </c>
      <c r="D12" s="9">
        <f t="shared" ref="D12:H12" si="1">SUM(D4:D10)</f>
        <v>25</v>
      </c>
      <c r="E12" s="9">
        <f t="shared" si="1"/>
        <v>56</v>
      </c>
      <c r="F12" s="9">
        <f t="shared" si="1"/>
        <v>41</v>
      </c>
      <c r="G12" s="9">
        <f t="shared" si="1"/>
        <v>30</v>
      </c>
      <c r="H12" s="9">
        <f t="shared" si="1"/>
        <v>96</v>
      </c>
      <c r="I12" s="9">
        <f>SUM(I4:I10)</f>
        <v>280</v>
      </c>
    </row>
    <row r="13" spans="1:9" x14ac:dyDescent="0.25">
      <c r="B13" s="9" t="s">
        <v>15</v>
      </c>
      <c r="C13" s="10">
        <v>30</v>
      </c>
      <c r="D13" s="10">
        <v>20</v>
      </c>
      <c r="E13" s="10">
        <v>25</v>
      </c>
      <c r="F13" s="10">
        <v>25</v>
      </c>
      <c r="G13" s="10">
        <v>15</v>
      </c>
      <c r="H13" s="10">
        <v>15</v>
      </c>
      <c r="I13" s="11"/>
    </row>
    <row r="14" spans="1:9" x14ac:dyDescent="0.25">
      <c r="B14" s="9" t="s">
        <v>16</v>
      </c>
      <c r="C14" s="10">
        <f>C12*C13</f>
        <v>960</v>
      </c>
      <c r="D14" s="10">
        <f t="shared" ref="D14:H14" si="2">D12*D13</f>
        <v>500</v>
      </c>
      <c r="E14" s="10">
        <f t="shared" si="2"/>
        <v>1400</v>
      </c>
      <c r="F14" s="10">
        <f t="shared" si="2"/>
        <v>1025</v>
      </c>
      <c r="G14" s="10">
        <f t="shared" si="2"/>
        <v>450</v>
      </c>
      <c r="H14" s="10">
        <f t="shared" si="2"/>
        <v>1440</v>
      </c>
      <c r="I14" s="10">
        <f>SUM(C14:H14)</f>
        <v>5775</v>
      </c>
    </row>
    <row r="18" spans="1:9" x14ac:dyDescent="0.25">
      <c r="A18" s="12" t="s">
        <v>20</v>
      </c>
    </row>
    <row r="19" spans="1:9" x14ac:dyDescent="0.25">
      <c r="B19" s="2" t="s">
        <v>13</v>
      </c>
      <c r="C19" s="2" t="s">
        <v>7</v>
      </c>
      <c r="D19" s="2" t="s">
        <v>8</v>
      </c>
      <c r="E19" s="2" t="s">
        <v>9</v>
      </c>
      <c r="F19" s="2" t="s">
        <v>10</v>
      </c>
      <c r="G19" s="2" t="s">
        <v>11</v>
      </c>
      <c r="H19" s="2" t="s">
        <v>12</v>
      </c>
      <c r="I19" s="2" t="s">
        <v>17</v>
      </c>
    </row>
    <row r="20" spans="1:9" x14ac:dyDescent="0.25">
      <c r="B20" s="2" t="s">
        <v>1</v>
      </c>
      <c r="C20" s="2">
        <v>9</v>
      </c>
      <c r="D20" s="3" t="s">
        <v>18</v>
      </c>
      <c r="E20" s="2" t="s">
        <v>18</v>
      </c>
      <c r="F20" s="3">
        <v>6</v>
      </c>
      <c r="G20" s="2">
        <v>29</v>
      </c>
      <c r="H20" s="3">
        <v>3</v>
      </c>
      <c r="I20" s="2">
        <f>SUM(C20:H20)</f>
        <v>47</v>
      </c>
    </row>
    <row r="21" spans="1:9" x14ac:dyDescent="0.25">
      <c r="B21" s="1" t="s">
        <v>5</v>
      </c>
      <c r="C21" s="4">
        <v>2</v>
      </c>
      <c r="D21" s="5">
        <v>7</v>
      </c>
      <c r="E21" s="4" t="s">
        <v>18</v>
      </c>
      <c r="F21" s="5">
        <v>8</v>
      </c>
      <c r="G21" s="4">
        <v>15</v>
      </c>
      <c r="H21" s="5">
        <v>15</v>
      </c>
      <c r="I21" s="2">
        <f t="shared" ref="I21:I26" si="3">SUM(C21:H21)</f>
        <v>47</v>
      </c>
    </row>
    <row r="22" spans="1:9" x14ac:dyDescent="0.25">
      <c r="B22" s="4" t="s">
        <v>6</v>
      </c>
      <c r="C22" s="4" t="s">
        <v>18</v>
      </c>
      <c r="D22" s="5" t="s">
        <v>18</v>
      </c>
      <c r="E22" s="4" t="s">
        <v>18</v>
      </c>
      <c r="F22" s="5">
        <v>13</v>
      </c>
      <c r="G22" s="4">
        <v>27</v>
      </c>
      <c r="H22" s="5">
        <v>7</v>
      </c>
      <c r="I22" s="2">
        <f t="shared" si="3"/>
        <v>47</v>
      </c>
    </row>
    <row r="23" spans="1:9" x14ac:dyDescent="0.25">
      <c r="B23" s="4" t="s">
        <v>0</v>
      </c>
      <c r="C23" s="4" t="s">
        <v>18</v>
      </c>
      <c r="D23" s="5" t="s">
        <v>18</v>
      </c>
      <c r="E23" s="4" t="s">
        <v>18</v>
      </c>
      <c r="F23" s="5">
        <v>14</v>
      </c>
      <c r="G23" s="4">
        <v>27</v>
      </c>
      <c r="H23" s="5">
        <v>6</v>
      </c>
      <c r="I23" s="2">
        <f t="shared" si="3"/>
        <v>47</v>
      </c>
    </row>
    <row r="24" spans="1:9" x14ac:dyDescent="0.25">
      <c r="B24" s="4" t="s">
        <v>2</v>
      </c>
      <c r="C24" s="4">
        <v>9</v>
      </c>
      <c r="D24" s="5">
        <v>1</v>
      </c>
      <c r="E24" s="4" t="s">
        <v>18</v>
      </c>
      <c r="F24" s="5">
        <v>4</v>
      </c>
      <c r="G24" s="4">
        <v>17</v>
      </c>
      <c r="H24" s="5">
        <v>16</v>
      </c>
      <c r="I24" s="2">
        <f t="shared" si="3"/>
        <v>47</v>
      </c>
    </row>
    <row r="25" spans="1:9" x14ac:dyDescent="0.25">
      <c r="B25" s="4" t="s">
        <v>4</v>
      </c>
      <c r="C25" s="4" t="s">
        <v>18</v>
      </c>
      <c r="D25" s="5">
        <v>8</v>
      </c>
      <c r="E25" s="4" t="s">
        <v>18</v>
      </c>
      <c r="F25" s="5">
        <v>2</v>
      </c>
      <c r="G25" s="4">
        <v>27</v>
      </c>
      <c r="H25" s="5">
        <v>10</v>
      </c>
      <c r="I25" s="2">
        <f t="shared" si="3"/>
        <v>47</v>
      </c>
    </row>
    <row r="26" spans="1:9" x14ac:dyDescent="0.25">
      <c r="B26" s="6" t="s">
        <v>3</v>
      </c>
      <c r="C26" s="6">
        <v>11</v>
      </c>
      <c r="D26" s="7">
        <v>8</v>
      </c>
      <c r="E26" s="6" t="s">
        <v>18</v>
      </c>
      <c r="F26" s="7">
        <v>10</v>
      </c>
      <c r="G26" s="6">
        <v>17</v>
      </c>
      <c r="H26" s="7">
        <v>1</v>
      </c>
      <c r="I26" s="9">
        <f t="shared" si="3"/>
        <v>47</v>
      </c>
    </row>
    <row r="27" spans="1:9" x14ac:dyDescent="0.25">
      <c r="B27" s="8"/>
      <c r="C27" s="8"/>
      <c r="D27" s="8"/>
      <c r="E27" s="8"/>
      <c r="F27" s="8"/>
      <c r="G27" s="8"/>
      <c r="H27" s="8"/>
      <c r="I27" s="8"/>
    </row>
    <row r="28" spans="1:9" x14ac:dyDescent="0.25">
      <c r="B28" s="9" t="s">
        <v>14</v>
      </c>
      <c r="C28" s="9">
        <f>SUM(C20:C26)</f>
        <v>31</v>
      </c>
      <c r="D28" s="9">
        <f t="shared" ref="D28:H28" si="4">SUM(D20:D26)</f>
        <v>24</v>
      </c>
      <c r="E28" s="9">
        <f t="shared" si="4"/>
        <v>0</v>
      </c>
      <c r="F28" s="9">
        <f t="shared" si="4"/>
        <v>57</v>
      </c>
      <c r="G28" s="9">
        <f t="shared" si="4"/>
        <v>159</v>
      </c>
      <c r="H28" s="9">
        <f t="shared" si="4"/>
        <v>58</v>
      </c>
      <c r="I28" s="9">
        <f>SUM(I20:I26)</f>
        <v>329</v>
      </c>
    </row>
    <row r="29" spans="1:9" x14ac:dyDescent="0.25">
      <c r="B29" s="9" t="s">
        <v>15</v>
      </c>
      <c r="C29" s="10">
        <v>30</v>
      </c>
      <c r="D29" s="10">
        <v>20</v>
      </c>
      <c r="E29" s="10">
        <v>25</v>
      </c>
      <c r="F29" s="10">
        <v>25</v>
      </c>
      <c r="G29" s="10">
        <v>15</v>
      </c>
      <c r="H29" s="10">
        <v>15</v>
      </c>
      <c r="I29" s="11"/>
    </row>
    <row r="30" spans="1:9" x14ac:dyDescent="0.25">
      <c r="B30" s="9" t="s">
        <v>16</v>
      </c>
      <c r="C30" s="10">
        <f>C28*C29</f>
        <v>930</v>
      </c>
      <c r="D30" s="10">
        <f t="shared" ref="D30" si="5">D28*D29</f>
        <v>480</v>
      </c>
      <c r="E30" s="10">
        <f t="shared" ref="E30" si="6">E28*E29</f>
        <v>0</v>
      </c>
      <c r="F30" s="10">
        <f t="shared" ref="F30" si="7">F28*F29</f>
        <v>1425</v>
      </c>
      <c r="G30" s="10">
        <f t="shared" ref="G30" si="8">G28*G29</f>
        <v>2385</v>
      </c>
      <c r="H30" s="10">
        <f t="shared" ref="H30" si="9">H28*H29</f>
        <v>870</v>
      </c>
      <c r="I30" s="10">
        <f>SUM(C30:H30)</f>
        <v>6090</v>
      </c>
    </row>
    <row r="34" spans="1:11" x14ac:dyDescent="0.25">
      <c r="A34" s="12" t="s">
        <v>21</v>
      </c>
    </row>
    <row r="35" spans="1:11" x14ac:dyDescent="0.25">
      <c r="B35" s="2" t="s">
        <v>13</v>
      </c>
      <c r="C35" s="2" t="s">
        <v>7</v>
      </c>
      <c r="D35" s="2" t="s">
        <v>8</v>
      </c>
      <c r="E35" s="2" t="s">
        <v>9</v>
      </c>
      <c r="F35" s="2" t="s">
        <v>10</v>
      </c>
      <c r="G35" s="2" t="s">
        <v>11</v>
      </c>
      <c r="H35" s="2" t="s">
        <v>12</v>
      </c>
      <c r="I35" s="2" t="s">
        <v>17</v>
      </c>
    </row>
    <row r="36" spans="1:11" x14ac:dyDescent="0.25">
      <c r="B36" s="2" t="s">
        <v>1</v>
      </c>
      <c r="C36" s="2" t="s">
        <v>18</v>
      </c>
      <c r="D36" s="3" t="s">
        <v>18</v>
      </c>
      <c r="E36" s="2" t="s">
        <v>18</v>
      </c>
      <c r="F36" s="3" t="s">
        <v>18</v>
      </c>
      <c r="G36" s="2" t="s">
        <v>18</v>
      </c>
      <c r="H36" s="3">
        <v>7</v>
      </c>
      <c r="I36" s="2">
        <v>7</v>
      </c>
    </row>
    <row r="37" spans="1:11" x14ac:dyDescent="0.25">
      <c r="B37" s="1" t="s">
        <v>5</v>
      </c>
      <c r="C37" s="4">
        <v>7</v>
      </c>
      <c r="D37" s="5" t="s">
        <v>18</v>
      </c>
      <c r="E37" s="4" t="s">
        <v>18</v>
      </c>
      <c r="F37" s="5" t="s">
        <v>18</v>
      </c>
      <c r="G37" s="4" t="s">
        <v>18</v>
      </c>
      <c r="H37" s="5" t="s">
        <v>18</v>
      </c>
      <c r="I37" s="2">
        <v>7</v>
      </c>
    </row>
    <row r="38" spans="1:11" x14ac:dyDescent="0.25">
      <c r="B38" s="4" t="s">
        <v>6</v>
      </c>
      <c r="C38" s="4" t="s">
        <v>18</v>
      </c>
      <c r="D38" s="5" t="s">
        <v>18</v>
      </c>
      <c r="E38" s="4" t="s">
        <v>18</v>
      </c>
      <c r="F38" s="5" t="s">
        <v>18</v>
      </c>
      <c r="G38" s="4" t="s">
        <v>18</v>
      </c>
      <c r="H38" s="5">
        <v>7</v>
      </c>
      <c r="I38" s="2">
        <v>7</v>
      </c>
    </row>
    <row r="39" spans="1:11" x14ac:dyDescent="0.25">
      <c r="B39" s="4" t="s">
        <v>0</v>
      </c>
      <c r="C39" s="4" t="s">
        <v>18</v>
      </c>
      <c r="D39" s="5" t="s">
        <v>18</v>
      </c>
      <c r="E39" s="4" t="s">
        <v>18</v>
      </c>
      <c r="F39" s="5" t="s">
        <v>18</v>
      </c>
      <c r="G39" s="4" t="s">
        <v>18</v>
      </c>
      <c r="H39" s="5">
        <v>7</v>
      </c>
      <c r="I39" s="2">
        <v>7</v>
      </c>
    </row>
    <row r="40" spans="1:11" x14ac:dyDescent="0.25">
      <c r="B40" s="4" t="s">
        <v>2</v>
      </c>
      <c r="C40" s="4" t="s">
        <v>18</v>
      </c>
      <c r="D40" s="5">
        <v>7</v>
      </c>
      <c r="E40" s="4" t="s">
        <v>18</v>
      </c>
      <c r="F40" s="5" t="s">
        <v>18</v>
      </c>
      <c r="G40" s="4" t="s">
        <v>18</v>
      </c>
      <c r="H40" s="5" t="s">
        <v>18</v>
      </c>
      <c r="I40" s="2">
        <v>7</v>
      </c>
    </row>
    <row r="41" spans="1:11" x14ac:dyDescent="0.25">
      <c r="B41" s="4" t="s">
        <v>4</v>
      </c>
      <c r="C41" s="4" t="s">
        <v>18</v>
      </c>
      <c r="D41" s="5" t="s">
        <v>18</v>
      </c>
      <c r="E41" s="4" t="s">
        <v>18</v>
      </c>
      <c r="F41" s="5" t="s">
        <v>18</v>
      </c>
      <c r="G41" s="4" t="s">
        <v>18</v>
      </c>
      <c r="H41" s="5">
        <v>7</v>
      </c>
      <c r="I41" s="2">
        <v>7</v>
      </c>
    </row>
    <row r="42" spans="1:11" x14ac:dyDescent="0.25">
      <c r="B42" s="6" t="s">
        <v>3</v>
      </c>
      <c r="C42" s="6" t="s">
        <v>18</v>
      </c>
      <c r="D42" s="7" t="s">
        <v>18</v>
      </c>
      <c r="E42" s="6" t="s">
        <v>18</v>
      </c>
      <c r="F42" s="7" t="s">
        <v>18</v>
      </c>
      <c r="G42" s="6" t="s">
        <v>18</v>
      </c>
      <c r="H42" s="7">
        <v>7</v>
      </c>
      <c r="I42" s="9">
        <v>7</v>
      </c>
    </row>
    <row r="43" spans="1:11" x14ac:dyDescent="0.25">
      <c r="B43" s="8"/>
      <c r="C43" s="8"/>
      <c r="D43" s="8"/>
      <c r="E43" s="8"/>
      <c r="F43" s="8"/>
      <c r="G43" s="8"/>
      <c r="H43" s="8"/>
      <c r="I43" s="8"/>
    </row>
    <row r="44" spans="1:11" x14ac:dyDescent="0.25">
      <c r="B44" s="9" t="s">
        <v>14</v>
      </c>
      <c r="C44" s="9">
        <f>SUM(C36:C42)</f>
        <v>7</v>
      </c>
      <c r="D44" s="9">
        <f t="shared" ref="D44:H44" si="10">SUM(D36:D42)</f>
        <v>7</v>
      </c>
      <c r="E44" s="9">
        <f t="shared" si="10"/>
        <v>0</v>
      </c>
      <c r="F44" s="9">
        <f t="shared" si="10"/>
        <v>0</v>
      </c>
      <c r="G44" s="9">
        <f t="shared" si="10"/>
        <v>0</v>
      </c>
      <c r="H44" s="9">
        <f t="shared" si="10"/>
        <v>35</v>
      </c>
      <c r="I44" s="9">
        <f>SUM(I36:I42)</f>
        <v>49</v>
      </c>
    </row>
    <row r="45" spans="1:11" x14ac:dyDescent="0.25">
      <c r="B45" s="9" t="s">
        <v>15</v>
      </c>
      <c r="C45" s="10">
        <v>30</v>
      </c>
      <c r="D45" s="10">
        <v>20</v>
      </c>
      <c r="E45" s="10">
        <v>25</v>
      </c>
      <c r="F45" s="10">
        <v>25</v>
      </c>
      <c r="G45" s="10">
        <v>15</v>
      </c>
      <c r="H45" s="10">
        <v>15</v>
      </c>
      <c r="I45" s="11"/>
    </row>
    <row r="46" spans="1:11" x14ac:dyDescent="0.25">
      <c r="B46" s="9" t="s">
        <v>16</v>
      </c>
      <c r="C46" s="10">
        <f>C44*C45</f>
        <v>210</v>
      </c>
      <c r="D46" s="10">
        <f t="shared" ref="D46" si="11">D44*D45</f>
        <v>140</v>
      </c>
      <c r="E46" s="10">
        <f t="shared" ref="E46" si="12">E44*E45</f>
        <v>0</v>
      </c>
      <c r="F46" s="10">
        <f t="shared" ref="F46" si="13">F44*F45</f>
        <v>0</v>
      </c>
      <c r="G46" s="10">
        <f t="shared" ref="G46" si="14">G44*G45</f>
        <v>0</v>
      </c>
      <c r="H46" s="10">
        <f t="shared" ref="H46" si="15">H44*H45</f>
        <v>525</v>
      </c>
      <c r="I46" s="10">
        <f>SUM(C46:H46)</f>
        <v>875</v>
      </c>
    </row>
    <row r="48" spans="1:11" x14ac:dyDescent="0.25">
      <c r="B48" s="13" t="s">
        <v>22</v>
      </c>
      <c r="I48" t="s">
        <v>23</v>
      </c>
      <c r="K48" t="s">
        <v>24</v>
      </c>
    </row>
    <row r="49" spans="3:11" x14ac:dyDescent="0.25">
      <c r="C49">
        <f>C44+C28+C12</f>
        <v>70</v>
      </c>
      <c r="D49">
        <f t="shared" ref="D49:I49" si="16">D44+D28+D12</f>
        <v>56</v>
      </c>
      <c r="E49">
        <f t="shared" si="16"/>
        <v>56</v>
      </c>
      <c r="F49">
        <f t="shared" si="16"/>
        <v>98</v>
      </c>
      <c r="G49">
        <f t="shared" si="16"/>
        <v>189</v>
      </c>
      <c r="H49">
        <f t="shared" si="16"/>
        <v>189</v>
      </c>
      <c r="I49">
        <f t="shared" si="16"/>
        <v>658</v>
      </c>
      <c r="K49" s="14">
        <f>I46+I30+I14</f>
        <v>12740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Lynx</dc:creator>
  <cp:lastModifiedBy>Lynx</cp:lastModifiedBy>
  <dcterms:created xsi:type="dcterms:W3CDTF">2022-12-06T15:41:53Z</dcterms:created>
  <dcterms:modified xsi:type="dcterms:W3CDTF">2022-12-06T17:55:01Z</dcterms:modified>
</cp:coreProperties>
</file>